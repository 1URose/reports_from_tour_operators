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ублики ТезТура и Пегаста" sheetId="1" r:id="rId5"/>
    <sheet state="visible" name="Бублики Динамики" sheetId="2" r:id="rId6"/>
  </sheets>
  <definedNames/>
  <calcPr/>
</workbook>
</file>

<file path=xl/sharedStrings.xml><?xml version="1.0" encoding="utf-8"?>
<sst xmlns="http://schemas.openxmlformats.org/spreadsheetml/2006/main" count="50" uniqueCount="44">
  <si>
    <t>Наши ошибки</t>
  </si>
  <si>
    <t>PG</t>
  </si>
  <si>
    <t>package is expired</t>
  </si>
  <si>
    <t>InvalidParams</t>
  </si>
  <si>
    <t>tour dropped by rules</t>
  </si>
  <si>
    <t>Неизвестно чьи ошибки</t>
  </si>
  <si>
    <t>Ошибки ТО</t>
  </si>
  <si>
    <t>failed to cast routes: empty result routes</t>
  </si>
  <si>
    <t>Неизвестно</t>
  </si>
  <si>
    <t>Ошибка с соединением</t>
  </si>
  <si>
    <t>context canceled</t>
  </si>
  <si>
    <t>Unauthorized</t>
  </si>
  <si>
    <t>err parse regular flights: get empty flight pairs arr after parse</t>
  </si>
  <si>
    <t>internal server error</t>
  </si>
  <si>
    <t>parse to amount failed</t>
  </si>
  <si>
    <t>code=[0]</t>
  </si>
  <si>
    <t>Residences not found in a special offer</t>
  </si>
  <si>
    <t>- Наши ошибки : 237 шт (29.4%)</t>
  </si>
  <si>
    <t>- Неизвестно чьи ошибки: 9 шт (1.1%)</t>
  </si>
  <si>
    <t>- Ошибки ТО: 559 шт (69.4%)</t>
  </si>
  <si>
    <t>ИТОГО: 805 шт</t>
  </si>
  <si>
    <t>PG Error</t>
  </si>
  <si>
    <t>duplicate key value violates unique constraint</t>
  </si>
  <si>
    <t>Internal Errors</t>
  </si>
  <si>
    <t>pq_invalid byte sequence</t>
  </si>
  <si>
    <t>Invalid Params</t>
  </si>
  <si>
    <t>Unsuccessful Prebook</t>
  </si>
  <si>
    <t>Бронирование уже в процессе</t>
  </si>
  <si>
    <t>Невалидное имя</t>
  </si>
  <si>
    <t>Невалидный документ</t>
  </si>
  <si>
    <t>Невалидная почта</t>
  </si>
  <si>
    <t>tour expired</t>
  </si>
  <si>
    <t>test_data</t>
  </si>
  <si>
    <t>birth certificate cannot be used</t>
  </si>
  <si>
    <t>all flights unsupported</t>
  </si>
  <si>
    <t>Dynamic Errors</t>
  </si>
  <si>
    <t>failed_count</t>
  </si>
  <si>
    <t>component not available</t>
  </si>
  <si>
    <t>timeout</t>
  </si>
  <si>
    <t>- PG: 7 шт (1.7%)</t>
  </si>
  <si>
    <t>- Internal Errors: 29 шт (6.9%)</t>
  </si>
  <si>
    <t>- Invalid Params: 128 шт (30.3%)</t>
  </si>
  <si>
    <t>- Prebook Errors: 259 шт (61.2%)</t>
  </si>
  <si>
    <t>ИТОГО: 423 шт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</si>
</sst>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ТезТура и Пегаста'!$A$2:$A$51</c:f>
            </c:strRef>
          </c:cat>
          <c:val>
            <c:numRef>
              <c:f>'Бублики ТезТура и Пегаста'!$B$2:$B$51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4A85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ТезТура и Пегаста'!$D$5:$D$7</c:f>
            </c:strRef>
          </c:cat>
          <c:val>
            <c:numRef>
              <c:f>'Бублики ТезТура и Пегаста'!$E$5:$E$7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Динамики'!$A$2:$A$51</c:f>
            </c:strRef>
          </c:cat>
          <c:val>
            <c:numRef>
              <c:f>'Бублики Динамики'!$B$2:$B$51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1C232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'Бублики Динамики'!$D$2:$D$5</c:f>
            </c:strRef>
          </c:cat>
          <c:val>
            <c:numRef>
              <c:f>'Бублики Динамики'!$E$2:$E$5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2D2C3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171450</xdr:rowOff>
    </xdr:from>
    <xdr:ext cx="10325100" cy="63817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29</xdr:row>
      <xdr:rowOff>161925</xdr:rowOff>
    </xdr:from>
    <xdr:ext cx="10429875" cy="63817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171450</xdr:rowOff>
    </xdr:from>
    <xdr:ext cx="10325100" cy="63817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29</xdr:row>
      <xdr:rowOff>161925</xdr:rowOff>
    </xdr:from>
    <xdr:ext cx="10429875" cy="63817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63"/>
    <col customWidth="1" min="4" max="4" width="14.88"/>
    <col customWidth="1" min="8" max="8" width="14.88"/>
    <col customWidth="1" min="18" max="18" width="169.0"/>
    <col customWidth="1" min="20" max="21" width="14.25"/>
  </cols>
  <sheetData>
    <row r="1">
      <c r="A1" s="1"/>
      <c r="B1" s="2"/>
      <c r="C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4"/>
      <c r="C2" s="2"/>
      <c r="D2" s="4" t="s">
        <v>1</v>
      </c>
      <c r="E2" s="2">
        <f>SUM(B2:B4)</f>
        <v>237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3"/>
      <c r="W2" s="3"/>
      <c r="X2" s="3"/>
      <c r="Y2" s="3"/>
      <c r="Z2" s="3"/>
    </row>
    <row r="3">
      <c r="A3" s="4" t="s">
        <v>2</v>
      </c>
      <c r="B3" s="4">
        <v>162.0</v>
      </c>
      <c r="C3" s="2"/>
      <c r="D3" s="4" t="s">
        <v>3</v>
      </c>
      <c r="E3" s="2">
        <f>SUM(B10:B13)</f>
        <v>493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6"/>
      <c r="T3" s="1"/>
      <c r="U3" s="1"/>
      <c r="V3" s="3"/>
      <c r="W3" s="3"/>
      <c r="X3" s="3"/>
      <c r="Y3" s="3"/>
      <c r="Z3" s="3"/>
    </row>
    <row r="4">
      <c r="A4" s="7" t="s">
        <v>4</v>
      </c>
      <c r="B4" s="8">
        <v>75.0</v>
      </c>
      <c r="C4" s="2"/>
      <c r="F4" s="3"/>
      <c r="G4" s="3"/>
      <c r="J4" s="3"/>
      <c r="K4" s="3"/>
      <c r="L4" s="3"/>
      <c r="M4" s="3"/>
      <c r="N4" s="3"/>
      <c r="O4" s="3"/>
      <c r="P4" s="3"/>
      <c r="Q4" s="3"/>
      <c r="R4" s="5"/>
      <c r="S4" s="6"/>
      <c r="T4" s="1"/>
      <c r="U4" s="1"/>
      <c r="V4" s="3"/>
      <c r="W4" s="3"/>
      <c r="X4" s="3"/>
      <c r="Y4" s="3"/>
      <c r="Z4" s="3"/>
    </row>
    <row r="5">
      <c r="A5" s="7"/>
      <c r="B5" s="8"/>
      <c r="C5" s="2"/>
      <c r="D5" s="1" t="s">
        <v>0</v>
      </c>
      <c r="E5" s="1">
        <f>SUM(B3:B4)</f>
        <v>237</v>
      </c>
      <c r="F5" s="3"/>
      <c r="G5" s="3"/>
      <c r="J5" s="3"/>
      <c r="K5" s="3"/>
      <c r="L5" s="3"/>
      <c r="M5" s="3"/>
      <c r="N5" s="3"/>
      <c r="O5" s="3"/>
      <c r="P5" s="3"/>
      <c r="Q5" s="3"/>
      <c r="R5" s="5"/>
      <c r="S5" s="6"/>
      <c r="T5" s="1"/>
      <c r="U5" s="1"/>
      <c r="V5" s="3"/>
      <c r="W5" s="3"/>
      <c r="X5" s="3"/>
      <c r="Y5" s="3"/>
      <c r="Z5" s="3"/>
    </row>
    <row r="6">
      <c r="A6" s="7" t="s">
        <v>5</v>
      </c>
      <c r="B6" s="8"/>
      <c r="C6" s="2"/>
      <c r="D6" s="1" t="s">
        <v>6</v>
      </c>
      <c r="E6" s="3">
        <f>SUM(B11:B18)</f>
        <v>559</v>
      </c>
      <c r="F6" s="3"/>
      <c r="G6" s="3"/>
      <c r="J6" s="3"/>
      <c r="K6" s="3"/>
      <c r="L6" s="3"/>
      <c r="M6" s="3"/>
      <c r="N6" s="3"/>
      <c r="O6" s="3"/>
      <c r="P6" s="3"/>
      <c r="Q6" s="3"/>
      <c r="R6" s="9"/>
      <c r="S6" s="9"/>
      <c r="T6" s="1"/>
      <c r="U6" s="1"/>
      <c r="V6" s="3"/>
      <c r="W6" s="3"/>
      <c r="X6" s="3"/>
      <c r="Y6" s="3"/>
      <c r="Z6" s="3"/>
    </row>
    <row r="7">
      <c r="A7" s="10" t="s">
        <v>7</v>
      </c>
      <c r="B7" s="10">
        <v>6.0</v>
      </c>
      <c r="C7" s="2"/>
      <c r="D7" s="1" t="s">
        <v>8</v>
      </c>
      <c r="E7" s="3">
        <f>SUM(B:B)-E5-E6</f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5"/>
      <c r="S7" s="9"/>
      <c r="T7" s="1"/>
      <c r="U7" s="1"/>
      <c r="V7" s="3"/>
      <c r="W7" s="3"/>
      <c r="X7" s="3"/>
      <c r="Y7" s="3"/>
      <c r="Z7" s="3"/>
    </row>
    <row r="8">
      <c r="A8" s="7" t="s">
        <v>9</v>
      </c>
      <c r="B8" s="8">
        <v>3.0</v>
      </c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6"/>
      <c r="T8" s="1"/>
      <c r="U8" s="3"/>
      <c r="V8" s="3"/>
      <c r="W8" s="3"/>
      <c r="X8" s="3"/>
      <c r="Y8" s="3"/>
      <c r="Z8" s="3"/>
    </row>
    <row r="9">
      <c r="A9" s="7"/>
      <c r="B9" s="8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  <c r="S9" s="6"/>
      <c r="T9" s="1"/>
      <c r="U9" s="3"/>
      <c r="V9" s="3"/>
      <c r="W9" s="3"/>
      <c r="X9" s="3"/>
      <c r="Y9" s="3"/>
      <c r="Z9" s="3"/>
    </row>
    <row r="10">
      <c r="A10" s="7" t="s">
        <v>6</v>
      </c>
      <c r="B10" s="8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9"/>
      <c r="S10" s="9"/>
      <c r="T10" s="1"/>
      <c r="U10" s="3"/>
      <c r="V10" s="3"/>
      <c r="W10" s="3"/>
      <c r="X10" s="3"/>
      <c r="Y10" s="3"/>
      <c r="Z10" s="3"/>
    </row>
    <row r="11">
      <c r="A11" s="11" t="s">
        <v>10</v>
      </c>
      <c r="B11" s="11">
        <v>333.0</v>
      </c>
      <c r="C11" s="2"/>
      <c r="D11" s="2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V11" s="3"/>
      <c r="W11" s="3"/>
      <c r="X11" s="3"/>
      <c r="Y11" s="3"/>
      <c r="Z11" s="3"/>
    </row>
    <row r="12">
      <c r="A12" s="11" t="s">
        <v>11</v>
      </c>
      <c r="B12" s="11">
        <v>106.0</v>
      </c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9"/>
      <c r="S12" s="9"/>
      <c r="T12" s="1"/>
      <c r="U12" s="3"/>
      <c r="V12" s="3"/>
      <c r="W12" s="3"/>
      <c r="X12" s="3"/>
      <c r="Y12" s="3"/>
      <c r="Z12" s="3"/>
    </row>
    <row r="13">
      <c r="A13" s="11" t="s">
        <v>12</v>
      </c>
      <c r="B13" s="11">
        <v>54.0</v>
      </c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9"/>
      <c r="S13" s="9"/>
      <c r="T13" s="1"/>
      <c r="U13" s="3"/>
      <c r="V13" s="3"/>
      <c r="W13" s="3"/>
      <c r="X13" s="3"/>
      <c r="Y13" s="3"/>
      <c r="Z13" s="3"/>
    </row>
    <row r="14">
      <c r="A14" s="11" t="s">
        <v>13</v>
      </c>
      <c r="B14" s="11">
        <v>38.0</v>
      </c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9"/>
      <c r="S14" s="9"/>
      <c r="T14" s="1"/>
      <c r="U14" s="3"/>
      <c r="V14" s="3"/>
      <c r="W14" s="3"/>
      <c r="X14" s="3"/>
      <c r="Y14" s="3"/>
      <c r="Z14" s="3"/>
    </row>
    <row r="15">
      <c r="A15" s="11" t="s">
        <v>14</v>
      </c>
      <c r="B15" s="11">
        <v>25.0</v>
      </c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9"/>
      <c r="S15" s="9"/>
      <c r="T15" s="1"/>
      <c r="U15" s="3"/>
      <c r="V15" s="3"/>
      <c r="W15" s="3"/>
      <c r="X15" s="3"/>
      <c r="Y15" s="3"/>
      <c r="Z15" s="3"/>
    </row>
    <row r="16">
      <c r="A16" s="11" t="s">
        <v>15</v>
      </c>
      <c r="B16" s="11">
        <v>2.0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9"/>
      <c r="S16" s="9"/>
      <c r="T16" s="1"/>
      <c r="U16" s="3"/>
      <c r="V16" s="3"/>
      <c r="W16" s="3"/>
      <c r="X16" s="3"/>
      <c r="Y16" s="3"/>
      <c r="Z16" s="3"/>
    </row>
    <row r="17">
      <c r="A17" s="11" t="s">
        <v>16</v>
      </c>
      <c r="B17" s="11">
        <v>1.0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/>
      <c r="S17" s="4"/>
      <c r="T17" s="1"/>
      <c r="U17" s="3"/>
      <c r="V17" s="3"/>
      <c r="W17" s="3"/>
      <c r="X17" s="3"/>
      <c r="Y17" s="3"/>
      <c r="Z17" s="3"/>
    </row>
    <row r="18">
      <c r="A18" s="11"/>
      <c r="B18" s="11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4"/>
      <c r="T18" s="1"/>
      <c r="U18" s="3"/>
      <c r="V18" s="3"/>
      <c r="W18" s="3"/>
      <c r="X18" s="3"/>
      <c r="Y18" s="3"/>
      <c r="Z18" s="3"/>
    </row>
    <row r="19">
      <c r="A19" s="11" t="str">
        <f>=== СВОД ПО ГРУППАМ ====</f>
        <v>#ERROR!</v>
      </c>
      <c r="B19" s="11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4"/>
      <c r="T19" s="1"/>
      <c r="U19" s="3"/>
      <c r="V19" s="3"/>
      <c r="W19" s="3"/>
      <c r="X19" s="3"/>
      <c r="Y19" s="3"/>
      <c r="Z19" s="3"/>
    </row>
    <row r="20">
      <c r="A20" s="1" t="s">
        <v>17</v>
      </c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  <c r="S20" s="4"/>
      <c r="T20" s="1"/>
      <c r="U20" s="3"/>
      <c r="V20" s="3"/>
      <c r="W20" s="3"/>
      <c r="X20" s="3"/>
      <c r="Y20" s="3"/>
      <c r="Z20" s="3"/>
    </row>
    <row r="21">
      <c r="A21" s="1" t="s">
        <v>18</v>
      </c>
      <c r="B21" s="1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4"/>
      <c r="T21" s="1"/>
      <c r="U21" s="3"/>
      <c r="V21" s="3"/>
      <c r="W21" s="3"/>
      <c r="X21" s="3"/>
      <c r="Y21" s="3"/>
      <c r="Z21" s="3"/>
    </row>
    <row r="22">
      <c r="A22" s="1" t="s">
        <v>19</v>
      </c>
      <c r="B22" s="1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T22" s="3"/>
      <c r="U22" s="3"/>
      <c r="V22" s="3"/>
      <c r="W22" s="3"/>
      <c r="X22" s="3"/>
      <c r="Y22" s="3"/>
      <c r="Z22" s="3"/>
    </row>
    <row r="23">
      <c r="A23" s="1" t="s">
        <v>20</v>
      </c>
      <c r="B23" s="1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T23" s="3"/>
      <c r="U23" s="3"/>
      <c r="V23" s="3"/>
      <c r="W23" s="3"/>
      <c r="X23" s="3"/>
      <c r="Y23" s="3"/>
      <c r="Z23" s="3"/>
    </row>
    <row r="24">
      <c r="A24" s="1"/>
      <c r="B24" s="1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4"/>
      <c r="T24" s="3"/>
      <c r="U24" s="3"/>
      <c r="V24" s="3"/>
      <c r="W24" s="3"/>
      <c r="X24" s="3"/>
      <c r="Y24" s="3"/>
      <c r="Z24" s="3"/>
    </row>
    <row r="25">
      <c r="A25" s="7"/>
      <c r="B25" s="8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1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1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1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"/>
      <c r="Z29" s="1"/>
    </row>
    <row r="30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63"/>
    <col customWidth="1" min="4" max="4" width="14.88"/>
    <col customWidth="1" min="8" max="8" width="14.88"/>
    <col customWidth="1" min="18" max="18" width="169.0"/>
    <col customWidth="1" min="20" max="21" width="14.25"/>
  </cols>
  <sheetData>
    <row r="1">
      <c r="A1" s="1"/>
      <c r="B1" s="2"/>
      <c r="C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/>
      <c r="C2" s="2"/>
      <c r="D2" s="4" t="s">
        <v>21</v>
      </c>
      <c r="E2" s="2">
        <f>SUM(B2:B4)</f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3"/>
      <c r="W2" s="3"/>
      <c r="X2" s="3"/>
      <c r="Y2" s="3"/>
      <c r="Z2" s="3"/>
    </row>
    <row r="3">
      <c r="A3" s="4" t="s">
        <v>22</v>
      </c>
      <c r="B3" s="4">
        <v>4.0</v>
      </c>
      <c r="C3" s="2"/>
      <c r="D3" s="4" t="s">
        <v>23</v>
      </c>
      <c r="E3" s="2">
        <f>SUM(B7)</f>
        <v>29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6"/>
      <c r="T3" s="1"/>
      <c r="U3" s="1"/>
      <c r="V3" s="3"/>
      <c r="W3" s="3"/>
      <c r="X3" s="3"/>
      <c r="Y3" s="3"/>
      <c r="Z3" s="3"/>
    </row>
    <row r="4">
      <c r="A4" s="7" t="s">
        <v>24</v>
      </c>
      <c r="B4" s="8">
        <v>3.0</v>
      </c>
      <c r="C4" s="2"/>
      <c r="D4" s="4" t="s">
        <v>25</v>
      </c>
      <c r="E4" s="2">
        <f>SUM(B10:B12)</f>
        <v>128</v>
      </c>
      <c r="F4" s="3"/>
      <c r="G4" s="3"/>
      <c r="J4" s="3"/>
      <c r="K4" s="3"/>
      <c r="L4" s="3"/>
      <c r="M4" s="3"/>
      <c r="N4" s="3"/>
      <c r="O4" s="3"/>
      <c r="P4" s="3"/>
      <c r="Q4" s="3"/>
      <c r="R4" s="5"/>
      <c r="S4" s="6"/>
      <c r="T4" s="1"/>
      <c r="U4" s="1"/>
      <c r="V4" s="3"/>
      <c r="W4" s="3"/>
      <c r="X4" s="3"/>
      <c r="Y4" s="3"/>
      <c r="Z4" s="3"/>
    </row>
    <row r="5">
      <c r="A5" s="7"/>
      <c r="B5" s="8"/>
      <c r="C5" s="2"/>
      <c r="D5" s="1" t="s">
        <v>26</v>
      </c>
      <c r="E5" s="1">
        <f>SUM(B15:B23)</f>
        <v>259</v>
      </c>
      <c r="F5" s="3"/>
      <c r="G5" s="3"/>
      <c r="J5" s="3"/>
      <c r="K5" s="3"/>
      <c r="L5" s="3"/>
      <c r="M5" s="3"/>
      <c r="N5" s="3"/>
      <c r="O5" s="3"/>
      <c r="P5" s="3"/>
      <c r="Q5" s="3"/>
      <c r="R5" s="5"/>
      <c r="S5" s="6"/>
      <c r="T5" s="1"/>
      <c r="U5" s="1"/>
      <c r="V5" s="3"/>
      <c r="W5" s="3"/>
      <c r="X5" s="3"/>
      <c r="Y5" s="3"/>
      <c r="Z5" s="3"/>
    </row>
    <row r="6">
      <c r="A6" s="7" t="s">
        <v>23</v>
      </c>
      <c r="B6" s="8"/>
      <c r="C6" s="2"/>
      <c r="D6" s="1"/>
      <c r="E6" s="3"/>
      <c r="F6" s="3"/>
      <c r="G6" s="3"/>
      <c r="J6" s="3"/>
      <c r="K6" s="3"/>
      <c r="L6" s="3"/>
      <c r="M6" s="3"/>
      <c r="N6" s="3"/>
      <c r="O6" s="3"/>
      <c r="P6" s="3"/>
      <c r="Q6" s="3"/>
      <c r="R6" s="9"/>
      <c r="S6" s="9"/>
      <c r="T6" s="1"/>
      <c r="U6" s="1"/>
      <c r="V6" s="3"/>
      <c r="W6" s="3"/>
      <c r="X6" s="3"/>
      <c r="Y6" s="3"/>
      <c r="Z6" s="3"/>
    </row>
    <row r="7">
      <c r="A7" s="10" t="s">
        <v>27</v>
      </c>
      <c r="B7" s="10">
        <v>29.0</v>
      </c>
      <c r="C7" s="2"/>
      <c r="D7" s="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5"/>
      <c r="S7" s="9"/>
      <c r="T7" s="1"/>
      <c r="U7" s="1"/>
      <c r="V7" s="3"/>
      <c r="W7" s="3"/>
      <c r="X7" s="3"/>
      <c r="Y7" s="3"/>
      <c r="Z7" s="3"/>
    </row>
    <row r="8">
      <c r="A8" s="7"/>
      <c r="B8" s="8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6"/>
      <c r="T8" s="1"/>
      <c r="U8" s="3"/>
      <c r="V8" s="3"/>
      <c r="W8" s="3"/>
      <c r="X8" s="3"/>
      <c r="Y8" s="3"/>
      <c r="Z8" s="3"/>
    </row>
    <row r="9">
      <c r="A9" s="7" t="s">
        <v>25</v>
      </c>
      <c r="B9" s="8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  <c r="S9" s="6"/>
      <c r="T9" s="1"/>
      <c r="U9" s="3"/>
      <c r="V9" s="3"/>
      <c r="W9" s="3"/>
      <c r="X9" s="3"/>
      <c r="Y9" s="3"/>
      <c r="Z9" s="3"/>
    </row>
    <row r="10">
      <c r="A10" s="7" t="s">
        <v>28</v>
      </c>
      <c r="B10" s="8">
        <v>57.0</v>
      </c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9"/>
      <c r="S10" s="9"/>
      <c r="T10" s="1"/>
      <c r="U10" s="3"/>
      <c r="V10" s="3"/>
      <c r="W10" s="3"/>
      <c r="X10" s="3"/>
      <c r="Y10" s="3"/>
      <c r="Z10" s="3"/>
    </row>
    <row r="11">
      <c r="A11" s="11" t="s">
        <v>29</v>
      </c>
      <c r="B11" s="11">
        <v>55.0</v>
      </c>
      <c r="C11" s="2"/>
      <c r="D11" s="2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V11" s="3"/>
      <c r="W11" s="3"/>
      <c r="X11" s="3"/>
      <c r="Y11" s="3"/>
      <c r="Z11" s="3"/>
    </row>
    <row r="12">
      <c r="A12" s="11" t="s">
        <v>30</v>
      </c>
      <c r="B12" s="11">
        <v>16.0</v>
      </c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9"/>
      <c r="S12" s="9"/>
      <c r="T12" s="1"/>
      <c r="U12" s="3"/>
      <c r="V12" s="3"/>
      <c r="W12" s="3"/>
      <c r="X12" s="3"/>
      <c r="Y12" s="3"/>
      <c r="Z12" s="3"/>
    </row>
    <row r="13">
      <c r="A13" s="11"/>
      <c r="B13" s="11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9"/>
      <c r="S13" s="9"/>
      <c r="T13" s="1"/>
      <c r="U13" s="3"/>
      <c r="V13" s="3"/>
      <c r="W13" s="3"/>
      <c r="X13" s="3"/>
      <c r="Y13" s="3"/>
      <c r="Z13" s="3"/>
    </row>
    <row r="14">
      <c r="A14" s="11" t="s">
        <v>26</v>
      </c>
      <c r="B14" s="11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9"/>
      <c r="S14" s="9"/>
      <c r="T14" s="1"/>
      <c r="U14" s="3"/>
      <c r="V14" s="3"/>
      <c r="W14" s="3"/>
      <c r="X14" s="3"/>
      <c r="Y14" s="3"/>
      <c r="Z14" s="3"/>
    </row>
    <row r="15">
      <c r="A15" s="11" t="s">
        <v>31</v>
      </c>
      <c r="B15" s="11">
        <v>67.0</v>
      </c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9"/>
      <c r="S15" s="9"/>
      <c r="T15" s="1"/>
      <c r="U15" s="3"/>
      <c r="V15" s="3"/>
      <c r="W15" s="3"/>
      <c r="X15" s="3"/>
      <c r="Y15" s="3"/>
      <c r="Z15" s="3"/>
    </row>
    <row r="16">
      <c r="A16" s="11" t="s">
        <v>32</v>
      </c>
      <c r="B16" s="11">
        <v>23.0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9"/>
      <c r="S16" s="9"/>
      <c r="T16" s="1"/>
      <c r="U16" s="3"/>
      <c r="V16" s="3"/>
      <c r="W16" s="3"/>
      <c r="X16" s="3"/>
      <c r="Y16" s="3"/>
      <c r="Z16" s="3"/>
    </row>
    <row r="17">
      <c r="A17" s="11" t="s">
        <v>33</v>
      </c>
      <c r="B17" s="11">
        <v>4.0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/>
      <c r="S17" s="4"/>
      <c r="T17" s="1"/>
      <c r="U17" s="3"/>
      <c r="V17" s="3"/>
      <c r="W17" s="3"/>
      <c r="X17" s="3"/>
      <c r="Y17" s="3"/>
      <c r="Z17" s="3"/>
    </row>
    <row r="18">
      <c r="A18" s="11" t="s">
        <v>34</v>
      </c>
      <c r="B18" s="11">
        <v>3.0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4"/>
      <c r="T18" s="1"/>
      <c r="U18" s="3"/>
      <c r="V18" s="3"/>
      <c r="W18" s="3"/>
      <c r="X18" s="3"/>
      <c r="Y18" s="3"/>
      <c r="Z18" s="3"/>
    </row>
    <row r="19">
      <c r="A19" s="11"/>
      <c r="B19" s="11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4"/>
      <c r="T19" s="1"/>
      <c r="U19" s="3"/>
      <c r="V19" s="3"/>
      <c r="W19" s="3"/>
      <c r="X19" s="3"/>
      <c r="Y19" s="3"/>
      <c r="Z19" s="3"/>
    </row>
    <row r="20">
      <c r="A20" s="1" t="s">
        <v>35</v>
      </c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  <c r="S20" s="4"/>
      <c r="T20" s="1"/>
      <c r="U20" s="3"/>
      <c r="V20" s="3"/>
      <c r="W20" s="3"/>
      <c r="X20" s="3"/>
      <c r="Y20" s="3"/>
      <c r="Z20" s="3"/>
    </row>
    <row r="21">
      <c r="A21" s="1" t="s">
        <v>36</v>
      </c>
      <c r="B21" s="1">
        <v>132.0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4"/>
      <c r="T21" s="1"/>
      <c r="U21" s="3"/>
      <c r="V21" s="3"/>
      <c r="W21" s="3"/>
      <c r="X21" s="3"/>
      <c r="Y21" s="3"/>
      <c r="Z21" s="3"/>
    </row>
    <row r="22">
      <c r="A22" s="1" t="s">
        <v>37</v>
      </c>
      <c r="B22" s="1">
        <v>23.0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T22" s="3"/>
      <c r="U22" s="3"/>
      <c r="V22" s="3"/>
      <c r="W22" s="3"/>
      <c r="X22" s="3"/>
      <c r="Y22" s="3"/>
      <c r="Z22" s="3"/>
    </row>
    <row r="23">
      <c r="A23" s="1" t="s">
        <v>38</v>
      </c>
      <c r="B23" s="1">
        <v>7.0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T23" s="3"/>
      <c r="U23" s="3"/>
      <c r="V23" s="3"/>
      <c r="W23" s="3"/>
      <c r="X23" s="3"/>
      <c r="Y23" s="3"/>
      <c r="Z23" s="3"/>
    </row>
    <row r="24">
      <c r="A24" s="1"/>
      <c r="B24" s="1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4"/>
      <c r="T24" s="3"/>
      <c r="U24" s="3"/>
      <c r="V24" s="3"/>
      <c r="W24" s="3"/>
      <c r="X24" s="3"/>
      <c r="Y24" s="3"/>
      <c r="Z24" s="3"/>
    </row>
    <row r="25">
      <c r="A25" s="7" t="str">
        <f>=== СВОД ПО ГРУППАМ ====</f>
        <v>#ERROR!</v>
      </c>
      <c r="B25" s="8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39</v>
      </c>
      <c r="B26" s="1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40</v>
      </c>
      <c r="B27" s="1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41</v>
      </c>
      <c r="B28" s="1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42</v>
      </c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"/>
      <c r="Z29" s="1"/>
    </row>
    <row r="30">
      <c r="A30" s="10" t="s">
        <v>43</v>
      </c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drawing r:id="rId1"/>
</worksheet>
</file>